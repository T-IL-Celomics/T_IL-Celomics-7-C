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צביה\אוניברסיטה\שנה ד\פרוייקט גמר\"/>
    </mc:Choice>
  </mc:AlternateContent>
  <xr:revisionPtr revIDLastSave="0" documentId="8_{CB2B5268-8DE9-4176-80DF-1A2F427DC481}" xr6:coauthVersionLast="47" xr6:coauthVersionMax="47" xr10:uidLastSave="{00000000-0000-0000-0000-000000000000}"/>
  <bookViews>
    <workbookView xWindow="-108" yWindow="-108" windowWidth="23256" windowHeight="12456" xr2:uid="{24C9A3C9-C081-499E-B864-710547B6BBEC}"/>
  </bookViews>
  <sheets>
    <sheet name="summary_tables" sheetId="2" r:id="rId1"/>
    <sheet name="repor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D2" i="2"/>
  <c r="E2" i="2"/>
  <c r="D3" i="2"/>
  <c r="E3" i="2" s="1"/>
  <c r="F3" i="2" s="1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 s="1"/>
  <c r="D13" i="2"/>
  <c r="E13" i="2"/>
  <c r="D14" i="2"/>
  <c r="E14" i="2"/>
  <c r="D15" i="2"/>
  <c r="E15" i="2" s="1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 s="1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 s="1"/>
  <c r="D43" i="2"/>
  <c r="E43" i="2" s="1"/>
  <c r="D44" i="2"/>
  <c r="E44" i="2"/>
  <c r="D45" i="2"/>
  <c r="E45" i="2"/>
</calcChain>
</file>

<file path=xl/sharedStrings.xml><?xml version="1.0" encoding="utf-8"?>
<sst xmlns="http://schemas.openxmlformats.org/spreadsheetml/2006/main" count="288" uniqueCount="175">
  <si>
    <t>File Path</t>
  </si>
  <si>
    <t>Computer</t>
  </si>
  <si>
    <t>File path beginning</t>
  </si>
  <si>
    <t>subdirectory</t>
  </si>
  <si>
    <t>corrected subdirectory</t>
  </si>
  <si>
    <t>Full path</t>
  </si>
  <si>
    <t>D:/Hala/Output/AE001/OUTPUT3/summary_table.xlsx</t>
  </si>
  <si>
    <t>metlab26_D</t>
  </si>
  <si>
    <t>\\metlab26\D\Hala\Output\</t>
  </si>
  <si>
    <t>\\metlab26\D\Hala\Output\AE001\OUTPUT3\summary_table.xlsx</t>
  </si>
  <si>
    <t>D:/Hala/Output/HK004/SUMMARY/summary_table.xlsx</t>
  </si>
  <si>
    <t>D:/Hala/Output/HK004/SUMMARY_CON/summary_table.xlsx</t>
  </si>
  <si>
    <t>D:/Hala/Output/HK005/SUMMARY_4T1/summary_table.xlsx</t>
  </si>
  <si>
    <t>D:/Hala/Output/HK005/SUMMARY_4T1_1/summary_table.xlsx</t>
  </si>
  <si>
    <t>D:/Hala/Output/HK005/SUMMARY_HB2/summary_table.xlsx</t>
  </si>
  <si>
    <t>D:/Hala/Output/HK005/SUMMARY_MDA231/summary_table.xlsx</t>
  </si>
  <si>
    <t>D:/Hala/Output/HK006/SUMMARY/summary_table.xlsx</t>
  </si>
  <si>
    <t>D:/Hala/Output/HK006/SUMMARY1/summary_table.xlsx</t>
  </si>
  <si>
    <t>D:/Hala/Output/HK006/SUMMARY_CON/summary_table.xlsx</t>
  </si>
  <si>
    <t>D:/Hala/Output/HK006/SUMMARY_CON1/summary_table.xlsx</t>
  </si>
  <si>
    <t>D:/Hala/Output/HK007/summary/summary_table.xlsx</t>
  </si>
  <si>
    <t>D:/Hala/Output/HK007/Summary_con_48h_Q50/summary_table.xlsx</t>
  </si>
  <si>
    <t>D:/Hala/Output/HK007/Summary_con_72h_Q50/summary_table.xlsx</t>
  </si>
  <si>
    <t>D:/Hala/Output/HK008/PyBatch_Example/summary_mda231_con_new/summary_table.xlsx</t>
  </si>
  <si>
    <t>D:/Hala/Output/HK008/Summary_4T1_con/summary_table.xlsx</t>
  </si>
  <si>
    <t>D:/Hala/Output/HK008/Summary_MDA231/summary_table.xlsx</t>
  </si>
  <si>
    <t>D:/Hala/Output/HK008/Summary_MDA231_CON/summary_table.xlsx</t>
  </si>
  <si>
    <t>D:/Hala/Output/HK008/summary_mda231_con_new/summary_table.xlsx</t>
  </si>
  <si>
    <t>D:/Hala/Output/HK008/try/output/summary_table.xlsx</t>
  </si>
  <si>
    <t>D:/Hala/Output/HK009/summary/summary_table.xlsx</t>
  </si>
  <si>
    <t>D:/Hala/Output/HK009/summary_con/summary_table.xlsx</t>
  </si>
  <si>
    <t>D:/Hala/Output/HK010/summary_con/summary_table.xlsx</t>
  </si>
  <si>
    <t>D:/Hala/Output/HK011/SUMMARY/summary_table.xlsx</t>
  </si>
  <si>
    <t>D:/Hala/Output/HK013/0.5GY/output/summary_table.xlsx</t>
  </si>
  <si>
    <t>D:/Hala/Output/HK013/output/summary_table.xlsx</t>
  </si>
  <si>
    <t>D:/Hala/Output/HK013/output_con_mda231/summary_table.xlsx</t>
  </si>
  <si>
    <t>D:/Hala/Output/HK014/HK014A/output/summary_table.xlsx</t>
  </si>
  <si>
    <t>D:/Hala/Output/HK014/HK014A/outputTRY/summary_table.xlsx</t>
  </si>
  <si>
    <t>D:/Hala/Output/HK014/HK014A/output_T2/summary_table.xlsx</t>
  </si>
  <si>
    <t>D:/Hala/Output/HK014/HK014B/output/summary_table.xlsx</t>
  </si>
  <si>
    <t>D:/Hala/Output/HK014/HK014B/output_T2/summary_table.xlsx</t>
  </si>
  <si>
    <t>D:/Hala/Output/HK015_1/output_con/summary_table.xlsx</t>
  </si>
  <si>
    <t>D:/Hala/Output/HK015_2/output_con/summary_table.xlsx</t>
  </si>
  <si>
    <t>D:/Hala/Output/HK017/output/summary_table.xlsx</t>
  </si>
  <si>
    <t>D:/Hala/Output/Hk021/output/summary_table.xlsx</t>
  </si>
  <si>
    <t>D:/Hala/Output/Hk021/output2/summary_table.xlsx</t>
  </si>
  <si>
    <t>D:/Hala/Output/Hk021/output3/summary_table.xlsx</t>
  </si>
  <si>
    <t>D:/Hala/Output/Hk021/output4/summary_table.xlsx</t>
  </si>
  <si>
    <t>D:/Hala/Output/SA001/output/summary_table.xlsx</t>
  </si>
  <si>
    <t>D:/Hala/Output/SA94/output/summary_table.xlsx</t>
  </si>
  <si>
    <t>D:/Hala/Output/SA96/output/summary_table.xlsx</t>
  </si>
  <si>
    <t>D:/Hala/Output/Hk021/output5/summary_table.xlsx</t>
  </si>
  <si>
    <t>D:/Hala/Output/Hk021/output6/summary_table.xlsx</t>
  </si>
  <si>
    <t>Subdirectory</t>
  </si>
  <si>
    <t>File Name</t>
  </si>
  <si>
    <t>Size</t>
  </si>
  <si>
    <t>Last Modified</t>
  </si>
  <si>
    <t>Hala\Output\HK004\SUMMARY\batch_output</t>
  </si>
  <si>
    <t>HK004_report.pdf</t>
  </si>
  <si>
    <t>D:/Hala\Output\HK004\SUMMARY\batch_output\HK004_report.pdf</t>
  </si>
  <si>
    <t>282.48 MB</t>
  </si>
  <si>
    <t>Hala\Output\HK004\SUMMARY_CON\batch_output</t>
  </si>
  <si>
    <t>D:/Hala\Output\HK004\SUMMARY_CON\batch_output\HK004_report.pdf</t>
  </si>
  <si>
    <t>57.74 MB</t>
  </si>
  <si>
    <t>Hala\Output\HK005\SUMMARY_4T1\batch_output</t>
  </si>
  <si>
    <t>HK005_report.pdf</t>
  </si>
  <si>
    <t>D:/Hala\Output\HK005\SUMMARY_4T1\batch_output\HK005_report.pdf</t>
  </si>
  <si>
    <t>174.91 MB</t>
  </si>
  <si>
    <t>Hala\Output\HK005\SUMMARY_4T1_1\batch_output</t>
  </si>
  <si>
    <t>D:/Hala\Output\HK005\SUMMARY_4T1_1\batch_output\HK005_report.pdf</t>
  </si>
  <si>
    <t>89.04 MB</t>
  </si>
  <si>
    <t>Hala\Output\HK005\SUMMARY_HB2\batch_output</t>
  </si>
  <si>
    <t>D:/Hala\Output\HK005\SUMMARY_HB2\batch_output\HK005_report.pdf</t>
  </si>
  <si>
    <t>75.69 MB</t>
  </si>
  <si>
    <t>Hala\Output\HK005\SUMMARY_MDA231\batch_output</t>
  </si>
  <si>
    <t>D:/Hala\Output\HK005\SUMMARY_MDA231\batch_output\HK005_report.pdf</t>
  </si>
  <si>
    <t>88.85 MB</t>
  </si>
  <si>
    <t>Hala\Output\HK006\SUMMARY\batch_output</t>
  </si>
  <si>
    <t>HK006_report.pdf</t>
  </si>
  <si>
    <t>D:/Hala\Output\HK006\SUMMARY\batch_output\HK006_report.pdf</t>
  </si>
  <si>
    <t>240.5 MB</t>
  </si>
  <si>
    <t>Hala\Output\HK006\SUMMARY1\batch_output</t>
  </si>
  <si>
    <t>D:/Hala\Output\HK006\SUMMARY1\batch_output\HK006_report.pdf</t>
  </si>
  <si>
    <t>Hala\Output\HK006\SUMMARY_CON\batch_output</t>
  </si>
  <si>
    <t>D:/Hala\Output\HK006\SUMMARY_CON\batch_output\HK006_report.pdf</t>
  </si>
  <si>
    <t>54.07 MB</t>
  </si>
  <si>
    <t>Hala\Output\HK006\SUMMARY_CON1\batch_output</t>
  </si>
  <si>
    <t>D:/Hala\Output\HK006\SUMMARY_CON1\batch_output\HK006_report.pdf</t>
  </si>
  <si>
    <t>53.72 MB</t>
  </si>
  <si>
    <t>Hala\Output\HK007\summary\batch_output</t>
  </si>
  <si>
    <t>HK007_report.pdf</t>
  </si>
  <si>
    <t>D:/Hala\Output\HK007\summary\batch_output\HK007_report.pdf</t>
  </si>
  <si>
    <t>116.09 MB</t>
  </si>
  <si>
    <t>Hala\Output\HK007\Summary_con_48h_Q50\batch_output</t>
  </si>
  <si>
    <t>D:/Hala\Output\HK007\Summary_con_48h_Q50\batch_output\HK007_report.pdf</t>
  </si>
  <si>
    <t>59.23 MB</t>
  </si>
  <si>
    <t>Hala\Output\HK007\Summary_con_72h_Q50\batch_output</t>
  </si>
  <si>
    <t>D:/Hala\Output\HK007\Summary_con_72h_Q50\batch_output\HK007_report.pdf</t>
  </si>
  <si>
    <t>64.82 MB</t>
  </si>
  <si>
    <t>Hala\Output\HK008\PyBatch_Example\summary_mda231_con_new\batch_output</t>
  </si>
  <si>
    <t>HK008_report.pdf</t>
  </si>
  <si>
    <t>D:/Hala\Output\HK008\PyBatch_Example\summary_mda231_con_new\batch_output\HK008_report.pdf</t>
  </si>
  <si>
    <t>51.34 MB</t>
  </si>
  <si>
    <t>Hala\Output\HK008\Summary_4T1_con\batch_output</t>
  </si>
  <si>
    <t>D:/Hala\Output\HK008\Summary_4T1_con\batch_output\HK008_report.pdf</t>
  </si>
  <si>
    <t>48.98 MB</t>
  </si>
  <si>
    <t>Hala\Output\HK008\Summary_MDA231\batch_output</t>
  </si>
  <si>
    <t>D:/Hala\Output\HK008\Summary_MDA231\batch_output\HK008_report.pdf</t>
  </si>
  <si>
    <t>114.32 MB</t>
  </si>
  <si>
    <t>Hala\Output\HK008\Summary_MDA231_CON\batch_output</t>
  </si>
  <si>
    <t>D:/Hala\Output\HK008\Summary_MDA231_CON\batch_output\HK008_report.pdf</t>
  </si>
  <si>
    <t>Hala\Output\HK008\summary_mda231_con_new\batch_output</t>
  </si>
  <si>
    <t>D:/Hala\Output\HK008\summary_mda231_con_new\batch_output\HK008_report.pdf</t>
  </si>
  <si>
    <t>Hala\Output\HK008\try\output\batch_output</t>
  </si>
  <si>
    <t>D:/Hala\Output\HK008\try\output\batch_output\HK008_report.pdf</t>
  </si>
  <si>
    <t>26.44 MB</t>
  </si>
  <si>
    <t>Hala\Output\HK009\summary\batch_output</t>
  </si>
  <si>
    <t>HK009_report.pdf</t>
  </si>
  <si>
    <t>D:/Hala\Output\HK009\summary\batch_output\HK009_report.pdf</t>
  </si>
  <si>
    <t>204.44 MB</t>
  </si>
  <si>
    <t>Hala\Output\HK009\summary_con\batch_output</t>
  </si>
  <si>
    <t>D:/Hala\Output\HK009\summary_con\batch_output\HK009_report.pdf</t>
  </si>
  <si>
    <t>43.61 MB</t>
  </si>
  <si>
    <t>Hala\Output\HK010\summary_con\batch_output</t>
  </si>
  <si>
    <t>HK010_report.pdf</t>
  </si>
  <si>
    <t>D:/Hala\Output\HK010\summary_con\batch_output\HK010_report.pdf</t>
  </si>
  <si>
    <t>29.58 MB</t>
  </si>
  <si>
    <t>Hala\Output\HK011\SUMMARY\batch_output</t>
  </si>
  <si>
    <t>HK011_report.pdf</t>
  </si>
  <si>
    <t>D:/Hala\Output\HK011\SUMMARY\batch_output\HK011_report.pdf</t>
  </si>
  <si>
    <t>9.07 MB</t>
  </si>
  <si>
    <t>Hala\Output\HK013\output\batch_output</t>
  </si>
  <si>
    <t>HK013_report.pdf</t>
  </si>
  <si>
    <t>D:/Hala\Output\HK013\output\batch_output\HK013_report.pdf</t>
  </si>
  <si>
    <t>91.8 MB</t>
  </si>
  <si>
    <t>Hala\Output\HK013\output_con_mda231\batch_output</t>
  </si>
  <si>
    <t>D:/Hala\Output\HK013\output_con_mda231\batch_output\HK013_report.pdf</t>
  </si>
  <si>
    <t>45.73 MB</t>
  </si>
  <si>
    <t>Hala\Output\HK014\HK014A\outputTRY\batch_output</t>
  </si>
  <si>
    <t>HK014_report.pdf</t>
  </si>
  <si>
    <t>D:/Hala\Output\HK014\HK014A\outputTRY\batch_output\HK014_report.pdf</t>
  </si>
  <si>
    <t>27.06 MB</t>
  </si>
  <si>
    <t>Hala\Output\HK014\HK014A\output_T2\batch_output</t>
  </si>
  <si>
    <t>D:/Hala\Output\HK014\HK014A\output_T2\batch_output\HK014_report.pdf</t>
  </si>
  <si>
    <t>27.07 MB</t>
  </si>
  <si>
    <t>Hala\Output\HK014\HK014B\output_T2\batch_output</t>
  </si>
  <si>
    <t>D:/Hala\Output\HK014\HK014B\output_T2\batch_output\HK014_report.pdf</t>
  </si>
  <si>
    <t>27.32 MB</t>
  </si>
  <si>
    <t>Hala\Output\HK015_1\output_con\batch_output</t>
  </si>
  <si>
    <t>HK015_report.pdf</t>
  </si>
  <si>
    <t>D:/Hala\Output\HK015_1\output_con\batch_output\HK015_report.pdf</t>
  </si>
  <si>
    <t>51.96 MB</t>
  </si>
  <si>
    <t>Hala\Output\HK015_2\output_con\batch_output</t>
  </si>
  <si>
    <t>D:/Hala\Output\HK015_2\output_con\batch_output\HK015_report.pdf</t>
  </si>
  <si>
    <t>27.25 MB</t>
  </si>
  <si>
    <t>Hala\Output\HK017\output\batch_output</t>
  </si>
  <si>
    <t>HK017_report.pdf</t>
  </si>
  <si>
    <t>D:/Hala\Output\HK017\output\batch_output\HK017_report.pdf</t>
  </si>
  <si>
    <t>60.04 MB</t>
  </si>
  <si>
    <t>Hala\Output\Hk021\output\batch_output</t>
  </si>
  <si>
    <t>HK021_report.pdf</t>
  </si>
  <si>
    <t>D:/Hala\Output\Hk021\output\batch_output\HK021_report.pdf</t>
  </si>
  <si>
    <t>26.99 MB</t>
  </si>
  <si>
    <t>Hala\Output\Hk021\output2\batch_output</t>
  </si>
  <si>
    <t>D:/Hala\Output\Hk021\output2\batch_output\HK021_report.pdf</t>
  </si>
  <si>
    <t>38.71 MB</t>
  </si>
  <si>
    <t>Hala\Output\Hk021\output3\batch_output</t>
  </si>
  <si>
    <t>D:/Hala\Output\Hk021\output3\batch_output\HK021_report.pdf</t>
  </si>
  <si>
    <t>38.67 MB</t>
  </si>
  <si>
    <t>Hala\Output\Hk021\output5\batch_output</t>
  </si>
  <si>
    <t>D:/Hala\Output\Hk021\output5\batch_output\HK021_report.pdf</t>
  </si>
  <si>
    <t>27.01 MB</t>
  </si>
  <si>
    <t>Hala\Output\Hk021\output6\batch_output</t>
  </si>
  <si>
    <t>D:/Hala\Output\Hk021\output6\batch_output\HK021_report.pdf</t>
  </si>
  <si>
    <t>27.2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</si>
</sst>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2" xfId="0" applyFill="1" applyBorder="1"/>
    <xf numFmtId="0" fontId="1" fillId="0" borderId="0" xfId="1"/>
    <xf numFmtId="0" fontId="0" fillId="0" borderId="1" xfId="0" applyBorder="1"/>
  </cellXfs>
  <cellStyles count="2">
    <cellStyle name="Hyperlink" xfId="1" builtinId="8"/>
    <cellStyle name="Normal" xfId="0" builtinId="0"/>
  </cellStyles>
  <dxfs count="3"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DEE2F-7B73-4487-8ABA-1CD53E0516F5}" name="Table1" displayName="Table1" ref="A1:F45" totalsRowShown="0">
  <autoFilter ref="A1:F45" xr:uid="{132DEE2F-7B73-4487-8ABA-1CD53E0516F5}"/>
  <tableColumns count="6">
    <tableColumn id="1" xr3:uid="{044EA539-9441-4261-A155-38F381DEE355}" name="File Path" dataDxfId="2"/>
    <tableColumn id="2" xr3:uid="{81997B17-2E7F-46FB-9AC9-B437710F59E3}" name="Computer" dataDxfId="1"/>
    <tableColumn id="3" xr3:uid="{D8117DC6-1EE6-4CCC-9CF6-F1BBA4684AC2}" name="File path beginning" dataCellStyle="Hyperlink"/>
    <tableColumn id="4" xr3:uid="{EF3E779B-A954-4CD6-A062-BD6DC97B25D1}" name="subdirectory">
      <calculatedColumnFormula>REPLACE(A2, 1, 15,"")</calculatedColumnFormula>
    </tableColumn>
    <tableColumn id="5" xr3:uid="{59CFC492-42BF-46C4-923E-564E8AA9F4F3}" name="corrected subdirectory">
      <calculatedColumnFormula>SUBSTITUTE(D2,"/","\")</calculatedColumnFormula>
    </tableColumn>
    <tableColumn id="6" xr3:uid="{91E15882-929A-4488-8885-5E6634762587}" name="Full path" dataDxfId="0">
      <calculatedColumnFormula>_xlfn.CONCAT(C2,E2)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metlab26\D\Hala\Output\" TargetMode="External"/><Relationship Id="rId2" Type="http://schemas.openxmlformats.org/officeDocument/2006/relationships/hyperlink" Target="file:///\\metlab26\D\Hala\Output\" TargetMode="External"/><Relationship Id="rId1" Type="http://schemas.openxmlformats.org/officeDocument/2006/relationships/hyperlink" Target="file:///\\metlab26\D\Hala\Output\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F2BD-58A0-4E0D-A9D0-10026C7BC256}">
  <dimension ref="A1:F45"/>
  <sheetViews>
    <sheetView tabSelected="1" workbookViewId="0">
      <selection activeCell="A12" sqref="A12"/>
    </sheetView>
  </sheetViews>
  <sheetFormatPr defaultRowHeight="13.9"/>
  <cols>
    <col min="1" max="1" width="75.625" customWidth="1"/>
    <col min="2" max="2" width="11.375" customWidth="1"/>
    <col min="3" max="3" width="23.25" customWidth="1"/>
    <col min="4" max="4" width="60.5" customWidth="1"/>
    <col min="5" max="5" width="43" customWidth="1"/>
    <col min="6" max="7" width="86.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7" t="s">
        <v>6</v>
      </c>
      <c r="B2" s="4" t="s">
        <v>7</v>
      </c>
      <c r="C2" s="6" t="s">
        <v>8</v>
      </c>
      <c r="D2" t="str">
        <f>REPLACE(A2, 1, 15,"")</f>
        <v>AE001/OUTPUT3/summary_table.xlsx</v>
      </c>
      <c r="E2" t="str">
        <f t="shared" ref="E2:E45" si="0">SUBSTITUTE(D2,"/","\")</f>
        <v>AE001\OUTPUT3\summary_table.xlsx</v>
      </c>
      <c r="F2" t="s">
        <v>9</v>
      </c>
    </row>
    <row r="3" spans="1:6">
      <c r="A3" s="7" t="s">
        <v>10</v>
      </c>
      <c r="B3" s="5" t="s">
        <v>7</v>
      </c>
      <c r="C3" s="6" t="s">
        <v>8</v>
      </c>
      <c r="D3" t="str">
        <f t="shared" ref="D3:D45" si="1">REPLACE(A3, 1, 15,"")</f>
        <v>HK004/SUMMARY/summary_table.xlsx</v>
      </c>
      <c r="E3" t="str">
        <f t="shared" si="0"/>
        <v>HK004\SUMMARY\summary_table.xlsx</v>
      </c>
      <c r="F3" t="str">
        <f t="shared" ref="F2:F45" si="2">_xlfn.CONCAT(C3,E3)</f>
        <v>\\metlab26\D\Hala\Output\HK004\SUMMARY\summary_table.xlsx</v>
      </c>
    </row>
    <row r="4" spans="1:6">
      <c r="A4" s="7" t="s">
        <v>11</v>
      </c>
      <c r="B4" s="4" t="s">
        <v>7</v>
      </c>
      <c r="C4" s="6" t="s">
        <v>8</v>
      </c>
      <c r="D4" t="str">
        <f t="shared" si="1"/>
        <v>HK004/SUMMARY_CON/summary_table.xlsx</v>
      </c>
      <c r="E4" t="str">
        <f t="shared" si="0"/>
        <v>HK004\SUMMARY_CON\summary_table.xlsx</v>
      </c>
      <c r="F4" t="str">
        <f t="shared" si="2"/>
        <v>\\metlab26\D\Hala\Output\HK004\SUMMARY_CON\summary_table.xlsx</v>
      </c>
    </row>
    <row r="5" spans="1:6">
      <c r="A5" s="7" t="s">
        <v>12</v>
      </c>
      <c r="B5" s="5" t="s">
        <v>7</v>
      </c>
      <c r="C5" s="6" t="s">
        <v>8</v>
      </c>
      <c r="D5" t="str">
        <f t="shared" si="1"/>
        <v>HK005/SUMMARY_4T1/summary_table.xlsx</v>
      </c>
      <c r="E5" t="str">
        <f t="shared" si="0"/>
        <v>HK005\SUMMARY_4T1\summary_table.xlsx</v>
      </c>
      <c r="F5" t="str">
        <f t="shared" si="2"/>
        <v>\\metlab26\D\Hala\Output\HK005\SUMMARY_4T1\summary_table.xlsx</v>
      </c>
    </row>
    <row r="6" spans="1:6">
      <c r="A6" s="7" t="s">
        <v>13</v>
      </c>
      <c r="B6" s="4" t="s">
        <v>7</v>
      </c>
      <c r="C6" s="6" t="s">
        <v>8</v>
      </c>
      <c r="D6" t="str">
        <f t="shared" si="1"/>
        <v>HK005/SUMMARY_4T1_1/summary_table.xlsx</v>
      </c>
      <c r="E6" t="str">
        <f t="shared" si="0"/>
        <v>HK005\SUMMARY_4T1_1\summary_table.xlsx</v>
      </c>
      <c r="F6" t="str">
        <f t="shared" si="2"/>
        <v>\\metlab26\D\Hala\Output\HK005\SUMMARY_4T1_1\summary_table.xlsx</v>
      </c>
    </row>
    <row r="7" spans="1:6">
      <c r="A7" s="7" t="s">
        <v>14</v>
      </c>
      <c r="B7" s="5" t="s">
        <v>7</v>
      </c>
      <c r="C7" s="6" t="s">
        <v>8</v>
      </c>
      <c r="D7" t="str">
        <f t="shared" si="1"/>
        <v>HK005/SUMMARY_HB2/summary_table.xlsx</v>
      </c>
      <c r="E7" t="str">
        <f t="shared" si="0"/>
        <v>HK005\SUMMARY_HB2\summary_table.xlsx</v>
      </c>
      <c r="F7" t="str">
        <f t="shared" si="2"/>
        <v>\\metlab26\D\Hala\Output\HK005\SUMMARY_HB2\summary_table.xlsx</v>
      </c>
    </row>
    <row r="8" spans="1:6">
      <c r="A8" s="7" t="s">
        <v>15</v>
      </c>
      <c r="B8" s="4" t="s">
        <v>7</v>
      </c>
      <c r="C8" s="6" t="s">
        <v>8</v>
      </c>
      <c r="D8" t="str">
        <f t="shared" si="1"/>
        <v>HK005/SUMMARY_MDA231/summary_table.xlsx</v>
      </c>
      <c r="E8" t="str">
        <f t="shared" si="0"/>
        <v>HK005\SUMMARY_MDA231\summary_table.xlsx</v>
      </c>
      <c r="F8" t="str">
        <f t="shared" si="2"/>
        <v>\\metlab26\D\Hala\Output\HK005\SUMMARY_MDA231\summary_table.xlsx</v>
      </c>
    </row>
    <row r="9" spans="1:6">
      <c r="A9" s="7" t="s">
        <v>16</v>
      </c>
      <c r="B9" s="5" t="s">
        <v>7</v>
      </c>
      <c r="C9" s="6" t="s">
        <v>8</v>
      </c>
      <c r="D9" t="str">
        <f t="shared" si="1"/>
        <v>HK006/SUMMARY/summary_table.xlsx</v>
      </c>
      <c r="E9" t="str">
        <f t="shared" si="0"/>
        <v>HK006\SUMMARY\summary_table.xlsx</v>
      </c>
      <c r="F9" t="str">
        <f t="shared" si="2"/>
        <v>\\metlab26\D\Hala\Output\HK006\SUMMARY\summary_table.xlsx</v>
      </c>
    </row>
    <row r="10" spans="1:6">
      <c r="A10" s="7" t="s">
        <v>17</v>
      </c>
      <c r="B10" s="4" t="s">
        <v>7</v>
      </c>
      <c r="C10" s="6" t="s">
        <v>8</v>
      </c>
      <c r="D10" t="str">
        <f t="shared" si="1"/>
        <v>HK006/SUMMARY1/summary_table.xlsx</v>
      </c>
      <c r="E10" t="str">
        <f t="shared" si="0"/>
        <v>HK006\SUMMARY1\summary_table.xlsx</v>
      </c>
      <c r="F10" t="str">
        <f t="shared" si="2"/>
        <v>\\metlab26\D\Hala\Output\HK006\SUMMARY1\summary_table.xlsx</v>
      </c>
    </row>
    <row r="11" spans="1:6">
      <c r="A11" s="7" t="s">
        <v>18</v>
      </c>
      <c r="B11" s="5" t="s">
        <v>7</v>
      </c>
      <c r="C11" s="6" t="s">
        <v>8</v>
      </c>
      <c r="D11" t="str">
        <f t="shared" si="1"/>
        <v>HK006/SUMMARY_CON/summary_table.xlsx</v>
      </c>
      <c r="E11" t="str">
        <f t="shared" si="0"/>
        <v>HK006\SUMMARY_CON\summary_table.xlsx</v>
      </c>
      <c r="F11" t="str">
        <f t="shared" si="2"/>
        <v>\\metlab26\D\Hala\Output\HK006\SUMMARY_CON\summary_table.xlsx</v>
      </c>
    </row>
    <row r="12" spans="1:6">
      <c r="A12" s="7" t="s">
        <v>19</v>
      </c>
      <c r="B12" s="4" t="s">
        <v>7</v>
      </c>
      <c r="C12" s="6" t="s">
        <v>8</v>
      </c>
      <c r="D12" t="str">
        <f t="shared" si="1"/>
        <v>HK006/SUMMARY_CON1/summary_table.xlsx</v>
      </c>
      <c r="E12" t="str">
        <f t="shared" si="0"/>
        <v>HK006\SUMMARY_CON1\summary_table.xlsx</v>
      </c>
      <c r="F12" t="str">
        <f t="shared" si="2"/>
        <v>\\metlab26\D\Hala\Output\HK006\SUMMARY_CON1\summary_table.xlsx</v>
      </c>
    </row>
    <row r="13" spans="1:6">
      <c r="A13" s="7" t="s">
        <v>20</v>
      </c>
      <c r="B13" s="5" t="s">
        <v>7</v>
      </c>
      <c r="C13" s="6" t="s">
        <v>8</v>
      </c>
      <c r="D13" t="str">
        <f t="shared" si="1"/>
        <v>HK007/summary/summary_table.xlsx</v>
      </c>
      <c r="E13" t="str">
        <f t="shared" si="0"/>
        <v>HK007\summary\summary_table.xlsx</v>
      </c>
      <c r="F13" t="str">
        <f t="shared" si="2"/>
        <v>\\metlab26\D\Hala\Output\HK007\summary\summary_table.xlsx</v>
      </c>
    </row>
    <row r="14" spans="1:6">
      <c r="A14" s="7" t="s">
        <v>21</v>
      </c>
      <c r="B14" s="4" t="s">
        <v>7</v>
      </c>
      <c r="C14" s="6" t="s">
        <v>8</v>
      </c>
      <c r="D14" t="str">
        <f t="shared" si="1"/>
        <v>HK007/Summary_con_48h_Q50/summary_table.xlsx</v>
      </c>
      <c r="E14" t="str">
        <f t="shared" si="0"/>
        <v>HK007\Summary_con_48h_Q50\summary_table.xlsx</v>
      </c>
      <c r="F14" t="str">
        <f t="shared" si="2"/>
        <v>\\metlab26\D\Hala\Output\HK007\Summary_con_48h_Q50\summary_table.xlsx</v>
      </c>
    </row>
    <row r="15" spans="1:6">
      <c r="A15" s="7" t="s">
        <v>22</v>
      </c>
      <c r="B15" s="5" t="s">
        <v>7</v>
      </c>
      <c r="C15" s="6" t="s">
        <v>8</v>
      </c>
      <c r="D15" t="str">
        <f t="shared" si="1"/>
        <v>HK007/Summary_con_72h_Q50/summary_table.xlsx</v>
      </c>
      <c r="E15" t="str">
        <f t="shared" si="0"/>
        <v>HK007\Summary_con_72h_Q50\summary_table.xlsx</v>
      </c>
      <c r="F15" t="str">
        <f t="shared" si="2"/>
        <v>\\metlab26\D\Hala\Output\HK007\Summary_con_72h_Q50\summary_table.xlsx</v>
      </c>
    </row>
    <row r="16" spans="1:6">
      <c r="A16" s="7" t="s">
        <v>23</v>
      </c>
      <c r="B16" s="4" t="s">
        <v>7</v>
      </c>
      <c r="C16" s="6" t="s">
        <v>8</v>
      </c>
      <c r="D16" t="str">
        <f t="shared" si="1"/>
        <v>HK008/PyBatch_Example/summary_mda231_con_new/summary_table.xlsx</v>
      </c>
      <c r="E16" t="str">
        <f t="shared" si="0"/>
        <v>HK008\PyBatch_Example\summary_mda231_con_new\summary_table.xlsx</v>
      </c>
      <c r="F16" t="str">
        <f t="shared" si="2"/>
        <v>\\metlab26\D\Hala\Output\HK008\PyBatch_Example\summary_mda231_con_new\summary_table.xlsx</v>
      </c>
    </row>
    <row r="17" spans="1:6">
      <c r="A17" s="7" t="s">
        <v>24</v>
      </c>
      <c r="B17" s="5" t="s">
        <v>7</v>
      </c>
      <c r="C17" s="6" t="s">
        <v>8</v>
      </c>
      <c r="D17" t="str">
        <f t="shared" si="1"/>
        <v>HK008/Summary_4T1_con/summary_table.xlsx</v>
      </c>
      <c r="E17" t="str">
        <f t="shared" si="0"/>
        <v>HK008\Summary_4T1_con\summary_table.xlsx</v>
      </c>
      <c r="F17" t="str">
        <f t="shared" si="2"/>
        <v>\\metlab26\D\Hala\Output\HK008\Summary_4T1_con\summary_table.xlsx</v>
      </c>
    </row>
    <row r="18" spans="1:6">
      <c r="A18" s="7" t="s">
        <v>25</v>
      </c>
      <c r="B18" s="4" t="s">
        <v>7</v>
      </c>
      <c r="C18" s="6" t="s">
        <v>8</v>
      </c>
      <c r="D18" t="str">
        <f t="shared" si="1"/>
        <v>HK008/Summary_MDA231/summary_table.xlsx</v>
      </c>
      <c r="E18" t="str">
        <f t="shared" si="0"/>
        <v>HK008\Summary_MDA231\summary_table.xlsx</v>
      </c>
      <c r="F18" t="str">
        <f t="shared" si="2"/>
        <v>\\metlab26\D\Hala\Output\HK008\Summary_MDA231\summary_table.xlsx</v>
      </c>
    </row>
    <row r="19" spans="1:6">
      <c r="A19" s="7" t="s">
        <v>26</v>
      </c>
      <c r="B19" s="5" t="s">
        <v>7</v>
      </c>
      <c r="C19" s="6" t="s">
        <v>8</v>
      </c>
      <c r="D19" t="str">
        <f t="shared" si="1"/>
        <v>HK008/Summary_MDA231_CON/summary_table.xlsx</v>
      </c>
      <c r="E19" t="str">
        <f t="shared" si="0"/>
        <v>HK008\Summary_MDA231_CON\summary_table.xlsx</v>
      </c>
      <c r="F19" t="str">
        <f t="shared" si="2"/>
        <v>\\metlab26\D\Hala\Output\HK008\Summary_MDA231_CON\summary_table.xlsx</v>
      </c>
    </row>
    <row r="20" spans="1:6">
      <c r="A20" s="7" t="s">
        <v>27</v>
      </c>
      <c r="B20" s="4" t="s">
        <v>7</v>
      </c>
      <c r="C20" s="6" t="s">
        <v>8</v>
      </c>
      <c r="D20" t="str">
        <f t="shared" si="1"/>
        <v>HK008/summary_mda231_con_new/summary_table.xlsx</v>
      </c>
      <c r="E20" t="str">
        <f t="shared" si="0"/>
        <v>HK008\summary_mda231_con_new\summary_table.xlsx</v>
      </c>
      <c r="F20" t="str">
        <f t="shared" si="2"/>
        <v>\\metlab26\D\Hala\Output\HK008\summary_mda231_con_new\summary_table.xlsx</v>
      </c>
    </row>
    <row r="21" spans="1:6">
      <c r="A21" s="3" t="s">
        <v>28</v>
      </c>
      <c r="B21" s="5" t="s">
        <v>7</v>
      </c>
      <c r="C21" s="6" t="s">
        <v>8</v>
      </c>
      <c r="D21" t="str">
        <f t="shared" si="1"/>
        <v>HK008/try/output/summary_table.xlsx</v>
      </c>
      <c r="E21" t="str">
        <f t="shared" si="0"/>
        <v>HK008\try\output\summary_table.xlsx</v>
      </c>
      <c r="F21" t="str">
        <f t="shared" si="2"/>
        <v>\\metlab26\D\Hala\Output\HK008\try\output\summary_table.xlsx</v>
      </c>
    </row>
    <row r="22" spans="1:6">
      <c r="A22" s="2" t="s">
        <v>29</v>
      </c>
      <c r="B22" s="4" t="s">
        <v>7</v>
      </c>
      <c r="C22" s="6" t="s">
        <v>8</v>
      </c>
      <c r="D22" t="str">
        <f t="shared" si="1"/>
        <v>HK009/summary/summary_table.xlsx</v>
      </c>
      <c r="E22" t="str">
        <f t="shared" si="0"/>
        <v>HK009\summary\summary_table.xlsx</v>
      </c>
      <c r="F22" t="str">
        <f t="shared" si="2"/>
        <v>\\metlab26\D\Hala\Output\HK009\summary\summary_table.xlsx</v>
      </c>
    </row>
    <row r="23" spans="1:6">
      <c r="A23" s="3" t="s">
        <v>30</v>
      </c>
      <c r="B23" s="5" t="s">
        <v>7</v>
      </c>
      <c r="C23" s="6" t="s">
        <v>8</v>
      </c>
      <c r="D23" t="str">
        <f t="shared" si="1"/>
        <v>HK009/summary_con/summary_table.xlsx</v>
      </c>
      <c r="E23" t="str">
        <f t="shared" si="0"/>
        <v>HK009\summary_con\summary_table.xlsx</v>
      </c>
      <c r="F23" t="str">
        <f t="shared" si="2"/>
        <v>\\metlab26\D\Hala\Output\HK009\summary_con\summary_table.xlsx</v>
      </c>
    </row>
    <row r="24" spans="1:6">
      <c r="A24" s="2" t="s">
        <v>31</v>
      </c>
      <c r="B24" s="4" t="s">
        <v>7</v>
      </c>
      <c r="C24" s="6" t="s">
        <v>8</v>
      </c>
      <c r="D24" t="str">
        <f t="shared" si="1"/>
        <v>HK010/summary_con/summary_table.xlsx</v>
      </c>
      <c r="E24" t="str">
        <f t="shared" si="0"/>
        <v>HK010\summary_con\summary_table.xlsx</v>
      </c>
      <c r="F24" t="str">
        <f t="shared" si="2"/>
        <v>\\metlab26\D\Hala\Output\HK010\summary_con\summary_table.xlsx</v>
      </c>
    </row>
    <row r="25" spans="1:6">
      <c r="A25" s="3" t="s">
        <v>32</v>
      </c>
      <c r="B25" s="5" t="s">
        <v>7</v>
      </c>
      <c r="C25" s="6" t="s">
        <v>8</v>
      </c>
      <c r="D25" t="str">
        <f t="shared" si="1"/>
        <v>HK011/SUMMARY/summary_table.xlsx</v>
      </c>
      <c r="E25" t="str">
        <f t="shared" si="0"/>
        <v>HK011\SUMMARY\summary_table.xlsx</v>
      </c>
      <c r="F25" t="str">
        <f t="shared" si="2"/>
        <v>\\metlab26\D\Hala\Output\HK011\SUMMARY\summary_table.xlsx</v>
      </c>
    </row>
    <row r="26" spans="1:6">
      <c r="A26" s="2" t="s">
        <v>33</v>
      </c>
      <c r="B26" s="4" t="s">
        <v>7</v>
      </c>
      <c r="C26" s="6" t="s">
        <v>8</v>
      </c>
      <c r="D26" t="str">
        <f t="shared" si="1"/>
        <v>HK013/0.5GY/output/summary_table.xlsx</v>
      </c>
      <c r="E26" t="str">
        <f t="shared" si="0"/>
        <v>HK013\0.5GY\output\summary_table.xlsx</v>
      </c>
      <c r="F26" t="str">
        <f t="shared" si="2"/>
        <v>\\metlab26\D\Hala\Output\HK013\0.5GY\output\summary_table.xlsx</v>
      </c>
    </row>
    <row r="27" spans="1:6">
      <c r="A27" s="3" t="s">
        <v>34</v>
      </c>
      <c r="B27" s="5" t="s">
        <v>7</v>
      </c>
      <c r="C27" s="6" t="s">
        <v>8</v>
      </c>
      <c r="D27" t="str">
        <f t="shared" si="1"/>
        <v>HK013/output/summary_table.xlsx</v>
      </c>
      <c r="E27" t="str">
        <f t="shared" si="0"/>
        <v>HK013\output\summary_table.xlsx</v>
      </c>
      <c r="F27" t="str">
        <f t="shared" si="2"/>
        <v>\\metlab26\D\Hala\Output\HK013\output\summary_table.xlsx</v>
      </c>
    </row>
    <row r="28" spans="1:6">
      <c r="A28" s="2" t="s">
        <v>35</v>
      </c>
      <c r="B28" s="4" t="s">
        <v>7</v>
      </c>
      <c r="C28" s="6" t="s">
        <v>8</v>
      </c>
      <c r="D28" t="str">
        <f t="shared" si="1"/>
        <v>HK013/output_con_mda231/summary_table.xlsx</v>
      </c>
      <c r="E28" t="str">
        <f t="shared" si="0"/>
        <v>HK013\output_con_mda231\summary_table.xlsx</v>
      </c>
      <c r="F28" t="str">
        <f t="shared" si="2"/>
        <v>\\metlab26\D\Hala\Output\HK013\output_con_mda231\summary_table.xlsx</v>
      </c>
    </row>
    <row r="29" spans="1:6">
      <c r="A29" s="3" t="s">
        <v>36</v>
      </c>
      <c r="B29" s="5" t="s">
        <v>7</v>
      </c>
      <c r="C29" s="6" t="s">
        <v>8</v>
      </c>
      <c r="D29" t="str">
        <f t="shared" si="1"/>
        <v>HK014/HK014A/output/summary_table.xlsx</v>
      </c>
      <c r="E29" t="str">
        <f t="shared" si="0"/>
        <v>HK014\HK014A\output\summary_table.xlsx</v>
      </c>
      <c r="F29" t="str">
        <f t="shared" si="2"/>
        <v>\\metlab26\D\Hala\Output\HK014\HK014A\output\summary_table.xlsx</v>
      </c>
    </row>
    <row r="30" spans="1:6">
      <c r="A30" s="2" t="s">
        <v>37</v>
      </c>
      <c r="B30" s="4" t="s">
        <v>7</v>
      </c>
      <c r="C30" s="6" t="s">
        <v>8</v>
      </c>
      <c r="D30" t="str">
        <f t="shared" si="1"/>
        <v>HK014/HK014A/outputTRY/summary_table.xlsx</v>
      </c>
      <c r="E30" t="str">
        <f t="shared" si="0"/>
        <v>HK014\HK014A\outputTRY\summary_table.xlsx</v>
      </c>
      <c r="F30" t="str">
        <f t="shared" si="2"/>
        <v>\\metlab26\D\Hala\Output\HK014\HK014A\outputTRY\summary_table.xlsx</v>
      </c>
    </row>
    <row r="31" spans="1:6">
      <c r="A31" s="3" t="s">
        <v>38</v>
      </c>
      <c r="B31" s="5" t="s">
        <v>7</v>
      </c>
      <c r="C31" s="6" t="s">
        <v>8</v>
      </c>
      <c r="D31" t="str">
        <f t="shared" si="1"/>
        <v>HK014/HK014A/output_T2/summary_table.xlsx</v>
      </c>
      <c r="E31" t="str">
        <f t="shared" si="0"/>
        <v>HK014\HK014A\output_T2\summary_table.xlsx</v>
      </c>
      <c r="F31" t="str">
        <f t="shared" si="2"/>
        <v>\\metlab26\D\Hala\Output\HK014\HK014A\output_T2\summary_table.xlsx</v>
      </c>
    </row>
    <row r="32" spans="1:6">
      <c r="A32" s="2" t="s">
        <v>39</v>
      </c>
      <c r="B32" s="4" t="s">
        <v>7</v>
      </c>
      <c r="C32" s="6" t="s">
        <v>8</v>
      </c>
      <c r="D32" t="str">
        <f t="shared" si="1"/>
        <v>HK014/HK014B/output/summary_table.xlsx</v>
      </c>
      <c r="E32" t="str">
        <f t="shared" si="0"/>
        <v>HK014\HK014B\output\summary_table.xlsx</v>
      </c>
      <c r="F32" t="str">
        <f t="shared" si="2"/>
        <v>\\metlab26\D\Hala\Output\HK014\HK014B\output\summary_table.xlsx</v>
      </c>
    </row>
    <row r="33" spans="1:6">
      <c r="A33" s="3" t="s">
        <v>40</v>
      </c>
      <c r="B33" s="5" t="s">
        <v>7</v>
      </c>
      <c r="C33" s="6" t="s">
        <v>8</v>
      </c>
      <c r="D33" t="str">
        <f t="shared" si="1"/>
        <v>HK014/HK014B/output_T2/summary_table.xlsx</v>
      </c>
      <c r="E33" t="str">
        <f t="shared" si="0"/>
        <v>HK014\HK014B\output_T2\summary_table.xlsx</v>
      </c>
      <c r="F33" t="str">
        <f t="shared" si="2"/>
        <v>\\metlab26\D\Hala\Output\HK014\HK014B\output_T2\summary_table.xlsx</v>
      </c>
    </row>
    <row r="34" spans="1:6">
      <c r="A34" s="2" t="s">
        <v>41</v>
      </c>
      <c r="B34" s="4" t="s">
        <v>7</v>
      </c>
      <c r="C34" s="6" t="s">
        <v>8</v>
      </c>
      <c r="D34" t="str">
        <f t="shared" si="1"/>
        <v>HK015_1/output_con/summary_table.xlsx</v>
      </c>
      <c r="E34" t="str">
        <f t="shared" si="0"/>
        <v>HK015_1\output_con\summary_table.xlsx</v>
      </c>
      <c r="F34" t="str">
        <f t="shared" si="2"/>
        <v>\\metlab26\D\Hala\Output\HK015_1\output_con\summary_table.xlsx</v>
      </c>
    </row>
    <row r="35" spans="1:6">
      <c r="A35" s="3" t="s">
        <v>42</v>
      </c>
      <c r="B35" s="5" t="s">
        <v>7</v>
      </c>
      <c r="C35" s="6" t="s">
        <v>8</v>
      </c>
      <c r="D35" t="str">
        <f t="shared" si="1"/>
        <v>HK015_2/output_con/summary_table.xlsx</v>
      </c>
      <c r="E35" t="str">
        <f t="shared" si="0"/>
        <v>HK015_2\output_con\summary_table.xlsx</v>
      </c>
      <c r="F35" t="str">
        <f t="shared" si="2"/>
        <v>\\metlab26\D\Hala\Output\HK015_2\output_con\summary_table.xlsx</v>
      </c>
    </row>
    <row r="36" spans="1:6">
      <c r="A36" s="2" t="s">
        <v>43</v>
      </c>
      <c r="B36" s="4" t="s">
        <v>7</v>
      </c>
      <c r="C36" s="6" t="s">
        <v>8</v>
      </c>
      <c r="D36" t="str">
        <f t="shared" si="1"/>
        <v>HK017/output/summary_table.xlsx</v>
      </c>
      <c r="E36" t="str">
        <f t="shared" si="0"/>
        <v>HK017\output\summary_table.xlsx</v>
      </c>
      <c r="F36" t="str">
        <f t="shared" si="2"/>
        <v>\\metlab26\D\Hala\Output\HK017\output\summary_table.xlsx</v>
      </c>
    </row>
    <row r="37" spans="1:6">
      <c r="A37" s="3" t="s">
        <v>44</v>
      </c>
      <c r="B37" s="5" t="s">
        <v>7</v>
      </c>
      <c r="C37" s="6" t="s">
        <v>8</v>
      </c>
      <c r="D37" t="str">
        <f t="shared" si="1"/>
        <v>Hk021/output/summary_table.xlsx</v>
      </c>
      <c r="E37" t="str">
        <f t="shared" si="0"/>
        <v>Hk021\output\summary_table.xlsx</v>
      </c>
      <c r="F37" t="str">
        <f t="shared" si="2"/>
        <v>\\metlab26\D\Hala\Output\Hk021\output\summary_table.xlsx</v>
      </c>
    </row>
    <row r="38" spans="1:6">
      <c r="A38" s="2" t="s">
        <v>45</v>
      </c>
      <c r="B38" s="4" t="s">
        <v>7</v>
      </c>
      <c r="C38" s="6" t="s">
        <v>8</v>
      </c>
      <c r="D38" t="str">
        <f t="shared" si="1"/>
        <v>Hk021/output2/summary_table.xlsx</v>
      </c>
      <c r="E38" t="str">
        <f t="shared" si="0"/>
        <v>Hk021\output2\summary_table.xlsx</v>
      </c>
      <c r="F38" t="str">
        <f t="shared" si="2"/>
        <v>\\metlab26\D\Hala\Output\Hk021\output2\summary_table.xlsx</v>
      </c>
    </row>
    <row r="39" spans="1:6">
      <c r="A39" s="3" t="s">
        <v>46</v>
      </c>
      <c r="B39" s="5" t="s">
        <v>7</v>
      </c>
      <c r="C39" s="6" t="s">
        <v>8</v>
      </c>
      <c r="D39" t="str">
        <f t="shared" si="1"/>
        <v>Hk021/output3/summary_table.xlsx</v>
      </c>
      <c r="E39" t="str">
        <f t="shared" si="0"/>
        <v>Hk021\output3\summary_table.xlsx</v>
      </c>
      <c r="F39" t="str">
        <f t="shared" si="2"/>
        <v>\\metlab26\D\Hala\Output\Hk021\output3\summary_table.xlsx</v>
      </c>
    </row>
    <row r="40" spans="1:6">
      <c r="A40" s="2" t="s">
        <v>47</v>
      </c>
      <c r="B40" s="4" t="s">
        <v>7</v>
      </c>
      <c r="C40" s="6" t="s">
        <v>8</v>
      </c>
      <c r="D40" t="str">
        <f t="shared" si="1"/>
        <v>Hk021/output4/summary_table.xlsx</v>
      </c>
      <c r="E40" t="str">
        <f t="shared" si="0"/>
        <v>Hk021\output4\summary_table.xlsx</v>
      </c>
      <c r="F40" t="str">
        <f t="shared" si="2"/>
        <v>\\metlab26\D\Hala\Output\Hk021\output4\summary_table.xlsx</v>
      </c>
    </row>
    <row r="41" spans="1:6">
      <c r="A41" s="3" t="s">
        <v>48</v>
      </c>
      <c r="B41" s="5" t="s">
        <v>7</v>
      </c>
      <c r="C41" s="6" t="s">
        <v>8</v>
      </c>
      <c r="D41" t="str">
        <f t="shared" si="1"/>
        <v>SA001/output/summary_table.xlsx</v>
      </c>
      <c r="E41" t="str">
        <f t="shared" si="0"/>
        <v>SA001\output\summary_table.xlsx</v>
      </c>
      <c r="F41" t="str">
        <f t="shared" si="2"/>
        <v>\\metlab26\D\Hala\Output\SA001\output\summary_table.xlsx</v>
      </c>
    </row>
    <row r="42" spans="1:6">
      <c r="A42" s="2" t="s">
        <v>49</v>
      </c>
      <c r="B42" s="4" t="s">
        <v>7</v>
      </c>
      <c r="C42" s="6" t="s">
        <v>8</v>
      </c>
      <c r="D42" t="str">
        <f t="shared" si="1"/>
        <v>SA94/output/summary_table.xlsx</v>
      </c>
      <c r="E42" t="str">
        <f t="shared" si="0"/>
        <v>SA94\output\summary_table.xlsx</v>
      </c>
      <c r="F42" t="str">
        <f t="shared" si="2"/>
        <v>\\metlab26\D\Hala\Output\SA94\output\summary_table.xlsx</v>
      </c>
    </row>
    <row r="43" spans="1:6">
      <c r="A43" s="3" t="s">
        <v>50</v>
      </c>
      <c r="B43" s="5" t="s">
        <v>7</v>
      </c>
      <c r="C43" s="6" t="s">
        <v>8</v>
      </c>
      <c r="D43" t="str">
        <f t="shared" si="1"/>
        <v>SA96/output/summary_table.xlsx</v>
      </c>
      <c r="E43" t="str">
        <f t="shared" si="0"/>
        <v>SA96\output\summary_table.xlsx</v>
      </c>
      <c r="F43" t="str">
        <f t="shared" si="2"/>
        <v>\\metlab26\D\Hala\Output\SA96\output\summary_table.xlsx</v>
      </c>
    </row>
    <row r="44" spans="1:6">
      <c r="A44" s="2" t="s">
        <v>51</v>
      </c>
      <c r="B44" s="4" t="s">
        <v>7</v>
      </c>
      <c r="C44" s="6" t="s">
        <v>8</v>
      </c>
      <c r="D44" t="str">
        <f t="shared" si="1"/>
        <v>Hk021/output5/summary_table.xlsx</v>
      </c>
      <c r="E44" t="str">
        <f t="shared" si="0"/>
        <v>Hk021\output5\summary_table.xlsx</v>
      </c>
      <c r="F44" t="str">
        <f t="shared" si="2"/>
        <v>\\metlab26\D\Hala\Output\Hk021\output5\summary_table.xlsx</v>
      </c>
    </row>
    <row r="45" spans="1:6">
      <c r="A45" s="3" t="s">
        <v>52</v>
      </c>
      <c r="B45" s="5" t="s">
        <v>7</v>
      </c>
      <c r="C45" s="6" t="s">
        <v>8</v>
      </c>
      <c r="D45" t="str">
        <f t="shared" si="1"/>
        <v>Hk021/output6/summary_table.xlsx</v>
      </c>
      <c r="E45" t="str">
        <f t="shared" si="0"/>
        <v>Hk021\output6\summary_table.xlsx</v>
      </c>
      <c r="F45" t="str">
        <f t="shared" si="2"/>
        <v>\\metlab26\D\Hala\Output\Hk021\output6\summary_table.xlsx</v>
      </c>
    </row>
  </sheetData>
  <hyperlinks>
    <hyperlink ref="C2" r:id="rId1" xr:uid="{2B922E38-E0D6-46BE-B004-41D76E5A5C95}"/>
    <hyperlink ref="C3:C45" r:id="rId2" display="\\metlab26\D\Hala\Output\" xr:uid="{40DCDBE1-67C5-40FB-965B-D983168B73E5}"/>
    <hyperlink ref="C16" r:id="rId3" xr:uid="{A1713628-5D15-498E-932E-847A8D02C2C7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ADB1-8202-457B-9BDC-6F904E948F07}">
  <dimension ref="A1:E37"/>
  <sheetViews>
    <sheetView workbookViewId="0">
      <selection activeCell="E6" sqref="E6"/>
    </sheetView>
  </sheetViews>
  <sheetFormatPr defaultRowHeight="13.9"/>
  <cols>
    <col min="1" max="1" width="69" bestFit="1" customWidth="1"/>
    <col min="2" max="2" width="15.25" bestFit="1" customWidth="1"/>
    <col min="3" max="3" width="86.625" bestFit="1" customWidth="1"/>
    <col min="4" max="4" width="9.5" bestFit="1" customWidth="1"/>
    <col min="5" max="5" width="15" bestFit="1" customWidth="1"/>
  </cols>
  <sheetData>
    <row r="1" spans="1:5">
      <c r="A1" t="s">
        <v>53</v>
      </c>
      <c r="B1" t="s">
        <v>54</v>
      </c>
      <c r="C1" t="s">
        <v>0</v>
      </c>
      <c r="D1" t="s">
        <v>55</v>
      </c>
      <c r="E1" t="s">
        <v>56</v>
      </c>
    </row>
    <row r="2" spans="1:5">
      <c r="A2" t="s">
        <v>57</v>
      </c>
      <c r="B2" t="s">
        <v>58</v>
      </c>
      <c r="C2" t="s">
        <v>59</v>
      </c>
      <c r="D2" t="s">
        <v>60</v>
      </c>
      <c r="E2" s="1">
        <v>44536.983969907407</v>
      </c>
    </row>
    <row r="3" spans="1:5">
      <c r="A3" t="s">
        <v>61</v>
      </c>
      <c r="B3" t="s">
        <v>58</v>
      </c>
      <c r="C3" t="s">
        <v>62</v>
      </c>
      <c r="D3" t="s">
        <v>63</v>
      </c>
      <c r="E3" s="1">
        <v>44538.653310185182</v>
      </c>
    </row>
    <row r="4" spans="1:5">
      <c r="A4" t="s">
        <v>64</v>
      </c>
      <c r="B4" t="s">
        <v>65</v>
      </c>
      <c r="C4" t="s">
        <v>66</v>
      </c>
      <c r="D4" t="s">
        <v>67</v>
      </c>
      <c r="E4" s="1">
        <v>44558.969224537039</v>
      </c>
    </row>
    <row r="5" spans="1:5">
      <c r="A5" t="s">
        <v>68</v>
      </c>
      <c r="B5" t="s">
        <v>65</v>
      </c>
      <c r="C5" t="s">
        <v>69</v>
      </c>
      <c r="D5" t="s">
        <v>70</v>
      </c>
      <c r="E5" s="1">
        <v>44565.677708333336</v>
      </c>
    </row>
    <row r="6" spans="1:5">
      <c r="A6" t="s">
        <v>71</v>
      </c>
      <c r="B6" t="s">
        <v>65</v>
      </c>
      <c r="C6" t="s">
        <v>72</v>
      </c>
      <c r="D6" t="s">
        <v>73</v>
      </c>
      <c r="E6" s="1">
        <v>44565.829375000001</v>
      </c>
    </row>
    <row r="7" spans="1:5">
      <c r="A7" t="s">
        <v>74</v>
      </c>
      <c r="B7" t="s">
        <v>65</v>
      </c>
      <c r="C7" t="s">
        <v>75</v>
      </c>
      <c r="D7" t="s">
        <v>76</v>
      </c>
      <c r="E7" s="1">
        <v>44559.811793981484</v>
      </c>
    </row>
    <row r="8" spans="1:5">
      <c r="A8" t="s">
        <v>77</v>
      </c>
      <c r="B8" t="s">
        <v>78</v>
      </c>
      <c r="C8" t="s">
        <v>79</v>
      </c>
      <c r="D8" t="s">
        <v>80</v>
      </c>
      <c r="E8" s="1">
        <v>44545.955879629626</v>
      </c>
    </row>
    <row r="9" spans="1:5">
      <c r="A9" t="s">
        <v>81</v>
      </c>
      <c r="B9" t="s">
        <v>78</v>
      </c>
      <c r="C9" t="s">
        <v>82</v>
      </c>
      <c r="D9" t="s">
        <v>80</v>
      </c>
      <c r="E9" s="1">
        <v>44546.73296296296</v>
      </c>
    </row>
    <row r="10" spans="1:5">
      <c r="A10" t="s">
        <v>83</v>
      </c>
      <c r="B10" t="s">
        <v>78</v>
      </c>
      <c r="C10" t="s">
        <v>84</v>
      </c>
      <c r="D10" t="s">
        <v>85</v>
      </c>
      <c r="E10" s="1">
        <v>44544.764178240737</v>
      </c>
    </row>
    <row r="11" spans="1:5">
      <c r="A11" t="s">
        <v>86</v>
      </c>
      <c r="B11" t="s">
        <v>78</v>
      </c>
      <c r="C11" t="s">
        <v>87</v>
      </c>
      <c r="D11" t="s">
        <v>88</v>
      </c>
      <c r="E11" s="1">
        <v>44545.753645833334</v>
      </c>
    </row>
    <row r="12" spans="1:5">
      <c r="A12" t="s">
        <v>89</v>
      </c>
      <c r="B12" t="s">
        <v>90</v>
      </c>
      <c r="C12" t="s">
        <v>91</v>
      </c>
      <c r="D12" t="s">
        <v>92</v>
      </c>
      <c r="E12" s="1">
        <v>44621.52820601852</v>
      </c>
    </row>
    <row r="13" spans="1:5">
      <c r="A13" t="s">
        <v>93</v>
      </c>
      <c r="B13" t="s">
        <v>90</v>
      </c>
      <c r="C13" t="s">
        <v>94</v>
      </c>
      <c r="D13" t="s">
        <v>95</v>
      </c>
      <c r="E13" s="1">
        <v>44622.71303240741</v>
      </c>
    </row>
    <row r="14" spans="1:5">
      <c r="A14" t="s">
        <v>96</v>
      </c>
      <c r="B14" t="s">
        <v>90</v>
      </c>
      <c r="C14" t="s">
        <v>97</v>
      </c>
      <c r="D14" t="s">
        <v>98</v>
      </c>
      <c r="E14" s="1">
        <v>44608.630567129629</v>
      </c>
    </row>
    <row r="15" spans="1:5">
      <c r="A15" t="s">
        <v>99</v>
      </c>
      <c r="B15" t="s">
        <v>100</v>
      </c>
      <c r="C15" t="s">
        <v>101</v>
      </c>
      <c r="D15" t="s">
        <v>102</v>
      </c>
      <c r="E15" s="1">
        <v>44857.627395833333</v>
      </c>
    </row>
    <row r="16" spans="1:5">
      <c r="A16" t="s">
        <v>103</v>
      </c>
      <c r="B16" t="s">
        <v>100</v>
      </c>
      <c r="C16" t="s">
        <v>104</v>
      </c>
      <c r="D16" t="s">
        <v>105</v>
      </c>
      <c r="E16" s="1">
        <v>44658.604884259257</v>
      </c>
    </row>
    <row r="17" spans="1:5">
      <c r="A17" t="s">
        <v>106</v>
      </c>
      <c r="B17" t="s">
        <v>100</v>
      </c>
      <c r="C17" t="s">
        <v>107</v>
      </c>
      <c r="D17" t="s">
        <v>108</v>
      </c>
      <c r="E17" s="1">
        <v>44633.68472222222</v>
      </c>
    </row>
    <row r="18" spans="1:5">
      <c r="A18" t="s">
        <v>109</v>
      </c>
      <c r="B18" t="s">
        <v>100</v>
      </c>
      <c r="C18" t="s">
        <v>110</v>
      </c>
      <c r="D18" t="s">
        <v>102</v>
      </c>
      <c r="E18" s="1">
        <v>44628.810266203705</v>
      </c>
    </row>
    <row r="19" spans="1:5">
      <c r="A19" t="s">
        <v>111</v>
      </c>
      <c r="B19" t="s">
        <v>100</v>
      </c>
      <c r="C19" t="s">
        <v>112</v>
      </c>
      <c r="D19" t="s">
        <v>102</v>
      </c>
      <c r="E19" s="1">
        <v>44857.627395833333</v>
      </c>
    </row>
    <row r="20" spans="1:5">
      <c r="A20" t="s">
        <v>113</v>
      </c>
      <c r="B20" t="s">
        <v>100</v>
      </c>
      <c r="C20" t="s">
        <v>114</v>
      </c>
      <c r="D20" t="s">
        <v>115</v>
      </c>
      <c r="E20" s="1">
        <v>45236.811805555553</v>
      </c>
    </row>
    <row r="21" spans="1:5">
      <c r="A21" t="s">
        <v>116</v>
      </c>
      <c r="B21" t="s">
        <v>117</v>
      </c>
      <c r="C21" t="s">
        <v>118</v>
      </c>
      <c r="D21" t="s">
        <v>119</v>
      </c>
      <c r="E21" s="1">
        <v>44657.783530092594</v>
      </c>
    </row>
    <row r="22" spans="1:5">
      <c r="A22" t="s">
        <v>120</v>
      </c>
      <c r="B22" t="s">
        <v>117</v>
      </c>
      <c r="C22" t="s">
        <v>121</v>
      </c>
      <c r="D22" t="s">
        <v>122</v>
      </c>
      <c r="E22" s="1">
        <v>44657.657118055555</v>
      </c>
    </row>
    <row r="23" spans="1:5">
      <c r="A23" t="s">
        <v>123</v>
      </c>
      <c r="B23" t="s">
        <v>124</v>
      </c>
      <c r="C23" t="s">
        <v>125</v>
      </c>
      <c r="D23" t="s">
        <v>126</v>
      </c>
      <c r="E23" s="1">
        <v>44713.612500000003</v>
      </c>
    </row>
    <row r="24" spans="1:5">
      <c r="A24" t="s">
        <v>127</v>
      </c>
      <c r="B24" t="s">
        <v>128</v>
      </c>
      <c r="C24" t="s">
        <v>129</v>
      </c>
      <c r="D24" t="s">
        <v>130</v>
      </c>
      <c r="E24" s="1">
        <v>44726.65965277778</v>
      </c>
    </row>
    <row r="25" spans="1:5">
      <c r="A25" t="s">
        <v>131</v>
      </c>
      <c r="B25" t="s">
        <v>132</v>
      </c>
      <c r="C25" t="s">
        <v>133</v>
      </c>
      <c r="D25" t="s">
        <v>134</v>
      </c>
      <c r="E25" s="1">
        <v>44902.683055555557</v>
      </c>
    </row>
    <row r="26" spans="1:5">
      <c r="A26" t="s">
        <v>135</v>
      </c>
      <c r="B26" t="s">
        <v>132</v>
      </c>
      <c r="C26" t="s">
        <v>136</v>
      </c>
      <c r="D26" t="s">
        <v>137</v>
      </c>
      <c r="E26" s="1">
        <v>44908.798356481479</v>
      </c>
    </row>
    <row r="27" spans="1:5">
      <c r="A27" t="s">
        <v>138</v>
      </c>
      <c r="B27" t="s">
        <v>139</v>
      </c>
      <c r="C27" t="s">
        <v>140</v>
      </c>
      <c r="D27" t="s">
        <v>141</v>
      </c>
      <c r="E27" s="1">
        <v>44929.719629629632</v>
      </c>
    </row>
    <row r="28" spans="1:5">
      <c r="A28" t="s">
        <v>142</v>
      </c>
      <c r="B28" t="s">
        <v>139</v>
      </c>
      <c r="C28" t="s">
        <v>143</v>
      </c>
      <c r="D28" t="s">
        <v>144</v>
      </c>
      <c r="E28" s="1">
        <v>44899.771504629629</v>
      </c>
    </row>
    <row r="29" spans="1:5">
      <c r="A29" t="s">
        <v>145</v>
      </c>
      <c r="B29" t="s">
        <v>139</v>
      </c>
      <c r="C29" t="s">
        <v>146</v>
      </c>
      <c r="D29" t="s">
        <v>147</v>
      </c>
      <c r="E29" s="1">
        <v>44906.783437500002</v>
      </c>
    </row>
    <row r="30" spans="1:5">
      <c r="A30" t="s">
        <v>148</v>
      </c>
      <c r="B30" t="s">
        <v>149</v>
      </c>
      <c r="C30" t="s">
        <v>150</v>
      </c>
      <c r="D30" t="s">
        <v>151</v>
      </c>
      <c r="E30" s="1">
        <v>44934.751701388886</v>
      </c>
    </row>
    <row r="31" spans="1:5">
      <c r="A31" t="s">
        <v>152</v>
      </c>
      <c r="B31" t="s">
        <v>149</v>
      </c>
      <c r="C31" t="s">
        <v>153</v>
      </c>
      <c r="D31" t="s">
        <v>154</v>
      </c>
      <c r="E31" s="1">
        <v>44934.823078703703</v>
      </c>
    </row>
    <row r="32" spans="1:5">
      <c r="A32" t="s">
        <v>155</v>
      </c>
      <c r="B32" t="s">
        <v>156</v>
      </c>
      <c r="C32" t="s">
        <v>157</v>
      </c>
      <c r="D32" t="s">
        <v>158</v>
      </c>
      <c r="E32" s="1">
        <v>44993.741655092592</v>
      </c>
    </row>
    <row r="33" spans="1:5">
      <c r="A33" t="s">
        <v>159</v>
      </c>
      <c r="B33" t="s">
        <v>160</v>
      </c>
      <c r="C33" t="s">
        <v>161</v>
      </c>
      <c r="D33" t="s">
        <v>162</v>
      </c>
      <c r="E33" s="1">
        <v>45395.120474537034</v>
      </c>
    </row>
    <row r="34" spans="1:5">
      <c r="A34" t="s">
        <v>163</v>
      </c>
      <c r="B34" t="s">
        <v>160</v>
      </c>
      <c r="C34" t="s">
        <v>164</v>
      </c>
      <c r="D34" t="s">
        <v>165</v>
      </c>
      <c r="E34" s="1">
        <v>45396.152222222219</v>
      </c>
    </row>
    <row r="35" spans="1:5">
      <c r="A35" t="s">
        <v>166</v>
      </c>
      <c r="B35" t="s">
        <v>160</v>
      </c>
      <c r="C35" t="s">
        <v>167</v>
      </c>
      <c r="D35" t="s">
        <v>168</v>
      </c>
      <c r="E35" s="1">
        <v>45398.150370370371</v>
      </c>
    </row>
    <row r="36" spans="1:5">
      <c r="A36" t="s">
        <v>169</v>
      </c>
      <c r="B36" t="s">
        <v>160</v>
      </c>
      <c r="C36" t="s">
        <v>170</v>
      </c>
      <c r="D36" t="s">
        <v>171</v>
      </c>
      <c r="E36" s="1">
        <v>45681.030578703707</v>
      </c>
    </row>
    <row r="37" spans="1:5">
      <c r="A37" t="s">
        <v>172</v>
      </c>
      <c r="B37" t="s">
        <v>160</v>
      </c>
      <c r="C37" t="s">
        <v>173</v>
      </c>
      <c r="D37" t="s">
        <v>174</v>
      </c>
      <c r="E37" s="1">
        <v>45681.168981481482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Itamar Saban</dc:creator>
  <cp:keywords/>
  <dc:description/>
  <cp:lastModifiedBy/>
  <cp:revision/>
  <dcterms:created xsi:type="dcterms:W3CDTF">2025-04-21T13:03:21Z</dcterms:created>
  <dcterms:modified xsi:type="dcterms:W3CDTF">2025-08-11T12:23:26Z</dcterms:modified>
  <cp:category/>
  <cp:contentStatus/>
</cp:coreProperties>
</file>